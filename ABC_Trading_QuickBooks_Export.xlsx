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fit and Loss" sheetId="1" state="visible" r:id="rId3"/>
    <sheet name="Balance Sheet" sheetId="2" state="visible" r:id="rId4"/>
    <sheet name="Customer List" sheetId="3" state="visible" r:id="rId5"/>
    <sheet name="Sales by Customer" sheetId="4" state="visible" r:id="rId6"/>
    <sheet name="Invoi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<sst xmlns="http://schemas.openxmlformats.org/spreadsheetml/2006/main" count="241" uniqueCount="182">
  <si>
    <t xml:space="preserve">ABC Trading Company LLC</t>
  </si>
  <si>
    <t xml:space="preserve">Profit and Loss</t>
  </si>
  <si>
    <t xml:space="preserve">January 1 - March 31, 2026</t>
  </si>
  <si>
    <t xml:space="preserve">Accrual Basis  |  Generated: April 15, 2026</t>
  </si>
  <si>
    <t xml:space="preserve">Jan 2026</t>
  </si>
  <si>
    <t xml:space="preserve">Feb 2026</t>
  </si>
  <si>
    <t xml:space="preserve">Mar 2026</t>
  </si>
  <si>
    <t xml:space="preserve">Total</t>
  </si>
  <si>
    <t xml:space="preserve">Income</t>
  </si>
  <si>
    <t xml:space="preserve">Sales of Product Income</t>
  </si>
  <si>
    <t xml:space="preserve">Service Revenue</t>
  </si>
  <si>
    <t xml:space="preserve">Consulting Income</t>
  </si>
  <si>
    <t xml:space="preserve">Shipping Income</t>
  </si>
  <si>
    <t xml:space="preserve">Total Income</t>
  </si>
  <si>
    <t xml:space="preserve">Cost of Goods Sold</t>
  </si>
  <si>
    <t xml:space="preserve">Purchases</t>
  </si>
  <si>
    <t xml:space="preserve">Freight &amp; Delivery</t>
  </si>
  <si>
    <t xml:space="preserve">Direct Labor</t>
  </si>
  <si>
    <t xml:space="preserve">Total COGS</t>
  </si>
  <si>
    <t xml:space="preserve">Gross Profit</t>
  </si>
  <si>
    <t xml:space="preserve">Expenses</t>
  </si>
  <si>
    <t xml:space="preserve">Operating Expenses</t>
  </si>
  <si>
    <t xml:space="preserve">Rent Expense</t>
  </si>
  <si>
    <t xml:space="preserve">Utilities</t>
  </si>
  <si>
    <t xml:space="preserve">Office Supplies</t>
  </si>
  <si>
    <t xml:space="preserve">Internet &amp; Phone</t>
  </si>
  <si>
    <t xml:space="preserve">Total Operating Expenses</t>
  </si>
  <si>
    <t xml:space="preserve">Payroll Expenses</t>
  </si>
  <si>
    <t xml:space="preserve">Salaries &amp; Wages</t>
  </si>
  <si>
    <t xml:space="preserve">Payroll Taxes</t>
  </si>
  <si>
    <t xml:space="preserve">Employee Benefits</t>
  </si>
  <si>
    <t xml:space="preserve">Total Payroll Expenses</t>
  </si>
  <si>
    <t xml:space="preserve">Marketing &amp; Advertising</t>
  </si>
  <si>
    <t xml:space="preserve">Total Expenses</t>
  </si>
  <si>
    <t xml:space="preserve">Net Operating Income</t>
  </si>
  <si>
    <t xml:space="preserve">Balance Sheet</t>
  </si>
  <si>
    <t xml:space="preserve">As of March 31, 2026</t>
  </si>
  <si>
    <t xml:space="preserve">Mar 31, 2026</t>
  </si>
  <si>
    <t xml:space="preserve">Dec 31, 2025</t>
  </si>
  <si>
    <t xml:space="preserve">ASSETS</t>
  </si>
  <si>
    <t xml:space="preserve">Current Assets</t>
  </si>
  <si>
    <t xml:space="preserve">Cash &amp; Bank Accounts</t>
  </si>
  <si>
    <t xml:space="preserve">Accounts Receivable</t>
  </si>
  <si>
    <t xml:space="preserve">Inventory</t>
  </si>
  <si>
    <t xml:space="preserve">Prepaid Expenses</t>
  </si>
  <si>
    <t xml:space="preserve">Total Current Assets</t>
  </si>
  <si>
    <t xml:space="preserve">Fixed Assets</t>
  </si>
  <si>
    <t xml:space="preserve">Equipment</t>
  </si>
  <si>
    <t xml:space="preserve">Furniture &amp; Fixtures</t>
  </si>
  <si>
    <t xml:space="preserve">Accumulated Depreciation</t>
  </si>
  <si>
    <t xml:space="preserve">Total Fixed Assets</t>
  </si>
  <si>
    <t xml:space="preserve">TOTAL ASSETS</t>
  </si>
  <si>
    <t xml:space="preserve">LIABILITIES &amp; EQUITY</t>
  </si>
  <si>
    <t xml:space="preserve">Current Liabilities</t>
  </si>
  <si>
    <t xml:space="preserve">Accounts Payable</t>
  </si>
  <si>
    <t xml:space="preserve">Credit Card</t>
  </si>
  <si>
    <t xml:space="preserve">Sales Tax Payable</t>
  </si>
  <si>
    <t xml:space="preserve">Accrued Expenses</t>
  </si>
  <si>
    <t xml:space="preserve">Total Current Liabilities</t>
  </si>
  <si>
    <t xml:space="preserve">Long-Term Liabilities</t>
  </si>
  <si>
    <t xml:space="preserve">Bank Loan</t>
  </si>
  <si>
    <t xml:space="preserve">Total Long-Term Liabilities</t>
  </si>
  <si>
    <t xml:space="preserve">Equity</t>
  </si>
  <si>
    <t xml:space="preserve">Owner's Capital</t>
  </si>
  <si>
    <t xml:space="preserve">Retained Earnings</t>
  </si>
  <si>
    <t xml:space="preserve">Net Income</t>
  </si>
  <si>
    <t xml:space="preserve">Total Equity</t>
  </si>
  <si>
    <t xml:space="preserve">TOTAL LIABILITIES &amp; EQUITY</t>
  </si>
  <si>
    <t xml:space="preserve">ABC Trading Company LLC - Customer List</t>
  </si>
  <si>
    <t xml:space="preserve">As of April 15, 2026</t>
  </si>
  <si>
    <t xml:space="preserve">Customer Name</t>
  </si>
  <si>
    <t xml:space="preserve">Company</t>
  </si>
  <si>
    <t xml:space="preserve">Email</t>
  </si>
  <si>
    <t xml:space="preserve">Phone</t>
  </si>
  <si>
    <t xml:space="preserve">City</t>
  </si>
  <si>
    <t xml:space="preserve">Balance</t>
  </si>
  <si>
    <t xml:space="preserve">Status</t>
  </si>
  <si>
    <t xml:space="preserve">Ahmed Khan</t>
  </si>
  <si>
    <t xml:space="preserve">Khan Enterprises</t>
  </si>
  <si>
    <t xml:space="preserve">ahmed@khanent.com</t>
  </si>
  <si>
    <t xml:space="preserve">+92-300-1234567</t>
  </si>
  <si>
    <t xml:space="preserve">Karachi</t>
  </si>
  <si>
    <t xml:space="preserve">Active</t>
  </si>
  <si>
    <t xml:space="preserve">Sara Malik</t>
  </si>
  <si>
    <t xml:space="preserve">Malik Trading Co</t>
  </si>
  <si>
    <t xml:space="preserve">sara@maliktrading.pk</t>
  </si>
  <si>
    <t xml:space="preserve">+92-321-9876543</t>
  </si>
  <si>
    <t xml:space="preserve">Lahore</t>
  </si>
  <si>
    <t xml:space="preserve">John Smith</t>
  </si>
  <si>
    <t xml:space="preserve">Smith &amp; Sons Ltd</t>
  </si>
  <si>
    <t xml:space="preserve">john@smithsons.com</t>
  </si>
  <si>
    <t xml:space="preserve">+1-555-0123</t>
  </si>
  <si>
    <t xml:space="preserve">New York</t>
  </si>
  <si>
    <t xml:space="preserve">Fatima Hassan</t>
  </si>
  <si>
    <t xml:space="preserve">Hassan Textiles</t>
  </si>
  <si>
    <t xml:space="preserve">fatima@hassantex.com</t>
  </si>
  <si>
    <t xml:space="preserve">+92-333-4567890</t>
  </si>
  <si>
    <t xml:space="preserve">Faisalabad</t>
  </si>
  <si>
    <t xml:space="preserve">Robert Lee</t>
  </si>
  <si>
    <t xml:space="preserve">Lee Industries</t>
  </si>
  <si>
    <t xml:space="preserve">robert@leeind.com</t>
  </si>
  <si>
    <t xml:space="preserve">+1-555-0456</t>
  </si>
  <si>
    <t xml:space="preserve">Los Angeles</t>
  </si>
  <si>
    <t xml:space="preserve">Inactive</t>
  </si>
  <si>
    <t xml:space="preserve">Ayesha Tariq</t>
  </si>
  <si>
    <t xml:space="preserve">Tariq Imports</t>
  </si>
  <si>
    <t xml:space="preserve">ayesha@tariqimports.pk</t>
  </si>
  <si>
    <t xml:space="preserve">+92-345-1112233</t>
  </si>
  <si>
    <t xml:space="preserve">Islamabad</t>
  </si>
  <si>
    <t xml:space="preserve">Michael Brown</t>
  </si>
  <si>
    <t xml:space="preserve">Brown Logistics</t>
  </si>
  <si>
    <t xml:space="preserve">michael@brownlog.com</t>
  </si>
  <si>
    <t xml:space="preserve">+1-555-0789</t>
  </si>
  <si>
    <t xml:space="preserve">Chicago</t>
  </si>
  <si>
    <t xml:space="preserve">Hina Riaz</t>
  </si>
  <si>
    <t xml:space="preserve">Riaz Fabrics</t>
  </si>
  <si>
    <t xml:space="preserve">hina@riazfabrics.com</t>
  </si>
  <si>
    <t xml:space="preserve">+92-301-5556677</t>
  </si>
  <si>
    <t xml:space="preserve">Sales by Customer Detail</t>
  </si>
  <si>
    <t xml:space="preserve">Date</t>
  </si>
  <si>
    <t xml:space="preserve">Invoice #</t>
  </si>
  <si>
    <t xml:space="preserve">Description</t>
  </si>
  <si>
    <t xml:space="preserve">Amount</t>
  </si>
  <si>
    <t xml:space="preserve">Ahmed Khan - Khan Enterprises</t>
  </si>
  <si>
    <t xml:space="preserve">2026-01-15</t>
  </si>
  <si>
    <t xml:space="preserve">INV-1001</t>
  </si>
  <si>
    <t xml:space="preserve">Cotton Fabric Roll x 50</t>
  </si>
  <si>
    <t xml:space="preserve">2026-02-08</t>
  </si>
  <si>
    <t xml:space="preserve">INV-1015</t>
  </si>
  <si>
    <t xml:space="preserve">Polyester Mix x 30</t>
  </si>
  <si>
    <t xml:space="preserve">2026-03-22</t>
  </si>
  <si>
    <t xml:space="preserve">INV-1042</t>
  </si>
  <si>
    <t xml:space="preserve">Premium Silk x 10</t>
  </si>
  <si>
    <t xml:space="preserve">Total for Ahmed Khan:</t>
  </si>
  <si>
    <t xml:space="preserve">Sara Malik - Malik Trading Co</t>
  </si>
  <si>
    <t xml:space="preserve">2026-01-22</t>
  </si>
  <si>
    <t xml:space="preserve">INV-1008</t>
  </si>
  <si>
    <t xml:space="preserve">Wool Blend x 25</t>
  </si>
  <si>
    <t xml:space="preserve">2026-02-19</t>
  </si>
  <si>
    <t xml:space="preserve">INV-1023</t>
  </si>
  <si>
    <t xml:space="preserve">Linen x 40</t>
  </si>
  <si>
    <t xml:space="preserve">Total for Sara Malik:</t>
  </si>
  <si>
    <t xml:space="preserve">John Smith - Smith &amp; Sons Ltd</t>
  </si>
  <si>
    <t xml:space="preserve">2026-01-05</t>
  </si>
  <si>
    <t xml:space="preserve">INV-0998</t>
  </si>
  <si>
    <t xml:space="preserve">Bulk Order - Mixed</t>
  </si>
  <si>
    <t xml:space="preserve">2026-02-14</t>
  </si>
  <si>
    <t xml:space="preserve">INV-1019</t>
  </si>
  <si>
    <t xml:space="preserve">Premium Collection</t>
  </si>
  <si>
    <t xml:space="preserve">2026-03-10</t>
  </si>
  <si>
    <t xml:space="preserve">INV-1035</t>
  </si>
  <si>
    <t xml:space="preserve">Spring Catalog</t>
  </si>
  <si>
    <t xml:space="preserve">2026-03-28</t>
  </si>
  <si>
    <t xml:space="preserve">INV-1048</t>
  </si>
  <si>
    <t xml:space="preserve">Custom Order</t>
  </si>
  <si>
    <t xml:space="preserve">Total for John Smith:</t>
  </si>
  <si>
    <t xml:space="preserve">Fatima Hassan - Hassan Textiles</t>
  </si>
  <si>
    <t xml:space="preserve">2026-02-03</t>
  </si>
  <si>
    <t xml:space="preserve">INV-1012</t>
  </si>
  <si>
    <t xml:space="preserve">Cotton Yarn Bulk</t>
  </si>
  <si>
    <t xml:space="preserve">2026-03-15</t>
  </si>
  <si>
    <t xml:space="preserve">INV-1038</t>
  </si>
  <si>
    <t xml:space="preserve">Dyed Fabric x 60</t>
  </si>
  <si>
    <t xml:space="preserve">Total for Fatima Hassan:</t>
  </si>
  <si>
    <t xml:space="preserve">GRAND TOTAL:</t>
  </si>
  <si>
    <t xml:space="preserve">ABC Trading Company LLC - Invoice List</t>
  </si>
  <si>
    <t xml:space="preserve">Customer</t>
  </si>
  <si>
    <t xml:space="preserve">Due Date</t>
  </si>
  <si>
    <t xml:space="preserve">Paid</t>
  </si>
  <si>
    <t xml:space="preserve">2026-02-04</t>
  </si>
  <si>
    <t xml:space="preserve">2026-02-21</t>
  </si>
  <si>
    <t xml:space="preserve">2026-03-05</t>
  </si>
  <si>
    <t xml:space="preserve">2026-03-16</t>
  </si>
  <si>
    <t xml:space="preserve">2026-03-21</t>
  </si>
  <si>
    <t xml:space="preserve">Overdue</t>
  </si>
  <si>
    <t xml:space="preserve">2026-04-09</t>
  </si>
  <si>
    <t xml:space="preserve">Partial</t>
  </si>
  <si>
    <t xml:space="preserve">2026-04-14</t>
  </si>
  <si>
    <t xml:space="preserve">Open</t>
  </si>
  <si>
    <t xml:space="preserve">2026-04-21</t>
  </si>
  <si>
    <t xml:space="preserve">2026-04-27</t>
  </si>
  <si>
    <t xml:space="preserve">Totals: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</si>
</sst>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0;\(#,##0.0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C8A"/>
        <bgColor rgb="FF666666"/>
      </patternFill>
    </fill>
    <fill>
      <patternFill patternType="solid">
        <fgColor rgb="FFD9E2EC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5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4" customFormat="false" ht="15" hidden="false" customHeight="false" outlineLevel="0" collapsed="false">
      <c r="A4" s="3" t="s">
        <v>3</v>
      </c>
      <c r="B4" s="3"/>
      <c r="C4" s="3"/>
      <c r="D4" s="3"/>
      <c r="E4" s="3"/>
    </row>
    <row r="6" customFormat="false" ht="15" hidden="false" customHeight="false" outlineLevel="0" collapsed="false">
      <c r="A6" s="4"/>
      <c r="B6" s="5" t="s">
        <v>4</v>
      </c>
      <c r="C6" s="5" t="s">
        <v>5</v>
      </c>
      <c r="D6" s="5" t="s">
        <v>6</v>
      </c>
      <c r="E6" s="5" t="s">
        <v>7</v>
      </c>
    </row>
    <row r="8" customFormat="false" ht="15" hidden="false" customHeight="false" outlineLevel="0" collapsed="false">
      <c r="A8" s="6" t="s">
        <v>8</v>
      </c>
    </row>
    <row r="9" customFormat="false" ht="15" hidden="false" customHeight="false" outlineLevel="0" collapsed="false">
      <c r="A9" s="7" t="s">
        <v>9</v>
      </c>
      <c r="B9" s="8" t="n">
        <v>45000</v>
      </c>
      <c r="C9" s="8" t="n">
        <v>52000</v>
      </c>
      <c r="D9" s="8" t="n">
        <v>58000</v>
      </c>
      <c r="E9" s="8" t="n">
        <f aca="false">SUM(B9:D9)</f>
        <v>155000</v>
      </c>
    </row>
    <row r="10" customFormat="false" ht="15" hidden="false" customHeight="false" outlineLevel="0" collapsed="false">
      <c r="A10" s="7" t="s">
        <v>10</v>
      </c>
      <c r="B10" s="8" t="n">
        <v>18000</v>
      </c>
      <c r="C10" s="8" t="n">
        <v>22000</v>
      </c>
      <c r="D10" s="8" t="n">
        <v>25000</v>
      </c>
      <c r="E10" s="8" t="n">
        <f aca="false">SUM(B10:D10)</f>
        <v>65000</v>
      </c>
    </row>
    <row r="11" customFormat="false" ht="15" hidden="false" customHeight="false" outlineLevel="0" collapsed="false">
      <c r="A11" s="7" t="s">
        <v>11</v>
      </c>
      <c r="B11" s="8" t="n">
        <v>8000</v>
      </c>
      <c r="C11" s="8" t="n">
        <v>9500</v>
      </c>
      <c r="D11" s="8" t="n">
        <v>11000</v>
      </c>
      <c r="E11" s="8" t="n">
        <f aca="false">SUM(B11:D11)</f>
        <v>28500</v>
      </c>
    </row>
    <row r="12" customFormat="false" ht="15" hidden="false" customHeight="false" outlineLevel="0" collapsed="false">
      <c r="A12" s="7" t="s">
        <v>12</v>
      </c>
      <c r="B12" s="8" t="n">
        <v>2200</v>
      </c>
      <c r="C12" s="8" t="n">
        <v>2800</v>
      </c>
      <c r="D12" s="8" t="n">
        <v>3100</v>
      </c>
      <c r="E12" s="8" t="n">
        <f aca="false">SUM(B12:D12)</f>
        <v>8100</v>
      </c>
    </row>
    <row r="13" customFormat="false" ht="15" hidden="false" customHeight="false" outlineLevel="0" collapsed="false">
      <c r="A13" s="9" t="s">
        <v>13</v>
      </c>
      <c r="B13" s="10" t="n">
        <f aca="false">SUM(B9:B12)</f>
        <v>73200</v>
      </c>
      <c r="C13" s="10" t="n">
        <f aca="false">SUM(C9:C12)</f>
        <v>86300</v>
      </c>
      <c r="D13" s="10" t="n">
        <f aca="false">SUM(D9:D12)</f>
        <v>97100</v>
      </c>
      <c r="E13" s="10" t="n">
        <f aca="false">SUM(E9:E12)</f>
        <v>256600</v>
      </c>
    </row>
    <row r="15" customFormat="false" ht="15" hidden="false" customHeight="false" outlineLevel="0" collapsed="false">
      <c r="A15" s="6" t="s">
        <v>14</v>
      </c>
    </row>
    <row r="16" customFormat="false" ht="15" hidden="false" customHeight="false" outlineLevel="0" collapsed="false">
      <c r="A16" s="7" t="s">
        <v>15</v>
      </c>
      <c r="B16" s="8" t="n">
        <v>18000</v>
      </c>
      <c r="C16" s="8" t="n">
        <v>21000</v>
      </c>
      <c r="D16" s="8" t="n">
        <v>24000</v>
      </c>
      <c r="E16" s="8" t="n">
        <f aca="false">SUM(B16:D16)</f>
        <v>63000</v>
      </c>
    </row>
    <row r="17" customFormat="false" ht="15" hidden="false" customHeight="false" outlineLevel="0" collapsed="false">
      <c r="A17" s="7" t="s">
        <v>16</v>
      </c>
      <c r="B17" s="8" t="n">
        <v>1500</v>
      </c>
      <c r="C17" s="8" t="n">
        <v>1800</v>
      </c>
      <c r="D17" s="8" t="n">
        <v>2100</v>
      </c>
      <c r="E17" s="8" t="n">
        <f aca="false">SUM(B17:D17)</f>
        <v>5400</v>
      </c>
    </row>
    <row r="18" customFormat="false" ht="15" hidden="false" customHeight="false" outlineLevel="0" collapsed="false">
      <c r="A18" s="7" t="s">
        <v>17</v>
      </c>
      <c r="B18" s="8" t="n">
        <v>5000</v>
      </c>
      <c r="C18" s="8" t="n">
        <v>5500</v>
      </c>
      <c r="D18" s="8" t="n">
        <v>6000</v>
      </c>
      <c r="E18" s="8" t="n">
        <f aca="false">SUM(B18:D18)</f>
        <v>16500</v>
      </c>
    </row>
    <row r="19" customFormat="false" ht="15" hidden="false" customHeight="false" outlineLevel="0" collapsed="false">
      <c r="A19" s="9" t="s">
        <v>18</v>
      </c>
      <c r="B19" s="10" t="n">
        <f aca="false">SUM(B16:B18)</f>
        <v>24500</v>
      </c>
      <c r="C19" s="10" t="n">
        <f aca="false">SUM(C16:C18)</f>
        <v>28300</v>
      </c>
      <c r="D19" s="10" t="n">
        <f aca="false">SUM(D16:D18)</f>
        <v>32100</v>
      </c>
      <c r="E19" s="10" t="n">
        <f aca="false">SUM(E16:E18)</f>
        <v>84900</v>
      </c>
    </row>
    <row r="21" customFormat="false" ht="15" hidden="false" customHeight="false" outlineLevel="0" collapsed="false">
      <c r="A21" s="6" t="s">
        <v>19</v>
      </c>
      <c r="B21" s="11" t="n">
        <f aca="false">B13-B19</f>
        <v>48700</v>
      </c>
      <c r="C21" s="11" t="n">
        <f aca="false">C13-C19</f>
        <v>58000</v>
      </c>
      <c r="D21" s="11" t="n">
        <f aca="false">D13-D19</f>
        <v>65000</v>
      </c>
      <c r="E21" s="11" t="n">
        <f aca="false">E13-E19</f>
        <v>171700</v>
      </c>
    </row>
    <row r="23" customFormat="false" ht="15" hidden="false" customHeight="false" outlineLevel="0" collapsed="false">
      <c r="A23" s="6" t="s">
        <v>20</v>
      </c>
    </row>
    <row r="24" customFormat="false" ht="15" hidden="false" customHeight="false" outlineLevel="0" collapsed="false">
      <c r="A24" s="12" t="s">
        <v>21</v>
      </c>
    </row>
    <row r="25" customFormat="false" ht="15" hidden="false" customHeight="false" outlineLevel="0" collapsed="false">
      <c r="A25" s="13" t="s">
        <v>22</v>
      </c>
      <c r="B25" s="8" t="n">
        <v>4500</v>
      </c>
      <c r="C25" s="8" t="n">
        <v>4500</v>
      </c>
      <c r="D25" s="8" t="n">
        <v>4500</v>
      </c>
      <c r="E25" s="8" t="n">
        <f aca="false">SUM(B25:D25)</f>
        <v>13500</v>
      </c>
    </row>
    <row r="26" customFormat="false" ht="15" hidden="false" customHeight="false" outlineLevel="0" collapsed="false">
      <c r="A26" s="13" t="s">
        <v>23</v>
      </c>
      <c r="B26" s="8" t="n">
        <v>850</v>
      </c>
      <c r="C26" s="8" t="n">
        <v>920</v>
      </c>
      <c r="D26" s="8" t="n">
        <v>880</v>
      </c>
      <c r="E26" s="8" t="n">
        <f aca="false">SUM(B26:D26)</f>
        <v>2650</v>
      </c>
    </row>
    <row r="27" customFormat="false" ht="15" hidden="false" customHeight="false" outlineLevel="0" collapsed="false">
      <c r="A27" s="13" t="s">
        <v>24</v>
      </c>
      <c r="B27" s="8" t="n">
        <v>320</v>
      </c>
      <c r="C27" s="8" t="n">
        <v>450</v>
      </c>
      <c r="D27" s="8" t="n">
        <v>280</v>
      </c>
      <c r="E27" s="8" t="n">
        <f aca="false">SUM(B27:D27)</f>
        <v>1050</v>
      </c>
    </row>
    <row r="28" customFormat="false" ht="15" hidden="false" customHeight="false" outlineLevel="0" collapsed="false">
      <c r="A28" s="13" t="s">
        <v>25</v>
      </c>
      <c r="B28" s="8" t="n">
        <v>240</v>
      </c>
      <c r="C28" s="8" t="n">
        <v>240</v>
      </c>
      <c r="D28" s="8" t="n">
        <v>240</v>
      </c>
      <c r="E28" s="8" t="n">
        <f aca="false">SUM(B28:D28)</f>
        <v>720</v>
      </c>
    </row>
    <row r="29" customFormat="false" ht="15" hidden="false" customHeight="false" outlineLevel="0" collapsed="false">
      <c r="A29" s="12" t="s">
        <v>26</v>
      </c>
      <c r="B29" s="10" t="n">
        <f aca="false">SUM(B25:B28)</f>
        <v>5910</v>
      </c>
      <c r="C29" s="10" t="n">
        <f aca="false">SUM(C25:C28)</f>
        <v>6110</v>
      </c>
      <c r="D29" s="10" t="n">
        <f aca="false">SUM(D25:D28)</f>
        <v>5900</v>
      </c>
      <c r="E29" s="10" t="n">
        <f aca="false">SUM(E25:E28)</f>
        <v>17920</v>
      </c>
    </row>
    <row r="30" customFormat="false" ht="15" hidden="false" customHeight="false" outlineLevel="0" collapsed="false">
      <c r="A30" s="12" t="s">
        <v>27</v>
      </c>
    </row>
    <row r="31" customFormat="false" ht="15" hidden="false" customHeight="false" outlineLevel="0" collapsed="false">
      <c r="A31" s="13" t="s">
        <v>28</v>
      </c>
      <c r="B31" s="8" t="n">
        <v>12000</v>
      </c>
      <c r="C31" s="8" t="n">
        <v>12000</v>
      </c>
      <c r="D31" s="8" t="n">
        <v>12500</v>
      </c>
      <c r="E31" s="8" t="n">
        <f aca="false">SUM(B31:D31)</f>
        <v>36500</v>
      </c>
    </row>
    <row r="32" customFormat="false" ht="15" hidden="false" customHeight="false" outlineLevel="0" collapsed="false">
      <c r="A32" s="13" t="s">
        <v>29</v>
      </c>
      <c r="B32" s="8" t="n">
        <v>1800</v>
      </c>
      <c r="C32" s="8" t="n">
        <v>1800</v>
      </c>
      <c r="D32" s="8" t="n">
        <v>1875</v>
      </c>
      <c r="E32" s="8" t="n">
        <f aca="false">SUM(B32:D32)</f>
        <v>5475</v>
      </c>
    </row>
    <row r="33" customFormat="false" ht="15" hidden="false" customHeight="false" outlineLevel="0" collapsed="false">
      <c r="A33" s="13" t="s">
        <v>30</v>
      </c>
      <c r="B33" s="8" t="n">
        <v>1500</v>
      </c>
      <c r="C33" s="8" t="n">
        <v>1500</v>
      </c>
      <c r="D33" s="8" t="n">
        <v>1600</v>
      </c>
      <c r="E33" s="8" t="n">
        <f aca="false">SUM(B33:D33)</f>
        <v>4600</v>
      </c>
    </row>
    <row r="34" customFormat="false" ht="15" hidden="false" customHeight="false" outlineLevel="0" collapsed="false">
      <c r="A34" s="12" t="s">
        <v>31</v>
      </c>
      <c r="B34" s="10" t="n">
        <f aca="false">SUM(B31:B33)</f>
        <v>15300</v>
      </c>
      <c r="C34" s="10" t="n">
        <f aca="false">SUM(C31:C33)</f>
        <v>15300</v>
      </c>
      <c r="D34" s="10" t="n">
        <f aca="false">SUM(D31:D33)</f>
        <v>15975</v>
      </c>
      <c r="E34" s="10" t="n">
        <f aca="false">SUM(E31:E33)</f>
        <v>46575</v>
      </c>
    </row>
    <row r="35" customFormat="false" ht="15" hidden="false" customHeight="false" outlineLevel="0" collapsed="false">
      <c r="A35" s="7" t="s">
        <v>32</v>
      </c>
      <c r="B35" s="8" t="n">
        <v>1200</v>
      </c>
      <c r="C35" s="8" t="n">
        <v>1800</v>
      </c>
      <c r="D35" s="8" t="n">
        <v>2200</v>
      </c>
      <c r="E35" s="8" t="n">
        <f aca="false">SUM(B35:D35)</f>
        <v>5200</v>
      </c>
    </row>
    <row r="36" customFormat="false" ht="15" hidden="false" customHeight="false" outlineLevel="0" collapsed="false">
      <c r="A36" s="9" t="s">
        <v>33</v>
      </c>
      <c r="B36" s="10" t="n">
        <f aca="false">B29+B34+B35</f>
        <v>22410</v>
      </c>
      <c r="C36" s="10" t="n">
        <f aca="false">C29+C34+C35</f>
        <v>23210</v>
      </c>
      <c r="D36" s="10" t="n">
        <f aca="false">D29+D34+D35</f>
        <v>24075</v>
      </c>
      <c r="E36" s="10" t="n">
        <f aca="false">E29+E34+E35</f>
        <v>69695</v>
      </c>
    </row>
    <row r="38" customFormat="false" ht="15" hidden="false" customHeight="false" outlineLevel="0" collapsed="false">
      <c r="A38" s="6" t="s">
        <v>34</v>
      </c>
      <c r="B38" s="14" t="n">
        <f aca="false">B21-B36</f>
        <v>26290</v>
      </c>
      <c r="C38" s="14" t="n">
        <f aca="false">C21-C36</f>
        <v>34790</v>
      </c>
      <c r="D38" s="14" t="n">
        <f aca="false">D21-D36</f>
        <v>40925</v>
      </c>
      <c r="E38" s="14" t="n">
        <f aca="false">E21-E36</f>
        <v>102005</v>
      </c>
    </row>
  </sheetData>
  <mergeCells count="4">
    <mergeCell ref="A1:E1"/>
    <mergeCell ref="A2:E2"/>
    <mergeCell ref="A3:E3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35</v>
      </c>
      <c r="B2" s="2"/>
      <c r="C2" s="2"/>
    </row>
    <row r="3" customFormat="false" ht="15" hidden="false" customHeight="false" outlineLevel="0" collapsed="false">
      <c r="A3" s="3" t="s">
        <v>36</v>
      </c>
      <c r="B3" s="3"/>
      <c r="C3" s="3"/>
    </row>
    <row r="5" customFormat="false" ht="15" hidden="false" customHeight="false" outlineLevel="0" collapsed="false">
      <c r="A5" s="15"/>
      <c r="B5" s="5" t="s">
        <v>37</v>
      </c>
      <c r="C5" s="5" t="s">
        <v>38</v>
      </c>
    </row>
    <row r="7" customFormat="false" ht="15" hidden="false" customHeight="false" outlineLevel="0" collapsed="false">
      <c r="A7" s="16" t="s">
        <v>39</v>
      </c>
      <c r="B7" s="16"/>
      <c r="C7" s="16"/>
    </row>
    <row r="8" customFormat="false" ht="15" hidden="false" customHeight="false" outlineLevel="0" collapsed="false">
      <c r="A8" s="12" t="s">
        <v>40</v>
      </c>
    </row>
    <row r="9" customFormat="false" ht="15" hidden="false" customHeight="false" outlineLevel="0" collapsed="false">
      <c r="A9" s="13" t="s">
        <v>41</v>
      </c>
      <c r="B9" s="8" t="n">
        <v>45000</v>
      </c>
      <c r="C9" s="8" t="n">
        <v>38000</v>
      </c>
    </row>
    <row r="10" customFormat="false" ht="15" hidden="false" customHeight="false" outlineLevel="0" collapsed="false">
      <c r="A10" s="13" t="s">
        <v>42</v>
      </c>
      <c r="B10" s="8" t="n">
        <v>28000</v>
      </c>
      <c r="C10" s="8" t="n">
        <v>32000</v>
      </c>
    </row>
    <row r="11" customFormat="false" ht="15" hidden="false" customHeight="false" outlineLevel="0" collapsed="false">
      <c r="A11" s="13" t="s">
        <v>43</v>
      </c>
      <c r="B11" s="8" t="n">
        <v>35000</v>
      </c>
      <c r="C11" s="8" t="n">
        <v>30000</v>
      </c>
    </row>
    <row r="12" customFormat="false" ht="15" hidden="false" customHeight="false" outlineLevel="0" collapsed="false">
      <c r="A12" s="13" t="s">
        <v>44</v>
      </c>
      <c r="B12" s="8" t="n">
        <v>5000</v>
      </c>
      <c r="C12" s="8" t="n">
        <v>4500</v>
      </c>
    </row>
    <row r="13" customFormat="false" ht="15" hidden="false" customHeight="false" outlineLevel="0" collapsed="false">
      <c r="A13" s="12" t="s">
        <v>45</v>
      </c>
      <c r="B13" s="10" t="n">
        <f aca="false">SUM(B9:B12)</f>
        <v>113000</v>
      </c>
      <c r="C13" s="10" t="n">
        <f aca="false">SUM(C9:C12)</f>
        <v>104500</v>
      </c>
    </row>
    <row r="15" customFormat="false" ht="15" hidden="false" customHeight="false" outlineLevel="0" collapsed="false">
      <c r="A15" s="12" t="s">
        <v>46</v>
      </c>
    </row>
    <row r="16" customFormat="false" ht="15" hidden="false" customHeight="false" outlineLevel="0" collapsed="false">
      <c r="A16" s="13" t="s">
        <v>47</v>
      </c>
      <c r="B16" s="17" t="n">
        <v>25000</v>
      </c>
      <c r="C16" s="17" t="n">
        <v>25000</v>
      </c>
    </row>
    <row r="17" customFormat="false" ht="15" hidden="false" customHeight="false" outlineLevel="0" collapsed="false">
      <c r="A17" s="13" t="s">
        <v>48</v>
      </c>
      <c r="B17" s="17" t="n">
        <v>12000</v>
      </c>
      <c r="C17" s="17" t="n">
        <v>12000</v>
      </c>
    </row>
    <row r="18" customFormat="false" ht="15" hidden="false" customHeight="false" outlineLevel="0" collapsed="false">
      <c r="A18" s="13" t="s">
        <v>49</v>
      </c>
      <c r="B18" s="17" t="n">
        <v>-8000</v>
      </c>
      <c r="C18" s="17" t="n">
        <v>-7000</v>
      </c>
    </row>
    <row r="19" customFormat="false" ht="15" hidden="false" customHeight="false" outlineLevel="0" collapsed="false">
      <c r="A19" s="12" t="s">
        <v>50</v>
      </c>
      <c r="B19" s="10" t="n">
        <f aca="false">SUM(B16:B18)</f>
        <v>29000</v>
      </c>
      <c r="C19" s="10" t="n">
        <f aca="false">SUM(C16:C18)</f>
        <v>30000</v>
      </c>
    </row>
    <row r="20" customFormat="false" ht="15" hidden="false" customHeight="false" outlineLevel="0" collapsed="false">
      <c r="A20" s="9" t="s">
        <v>51</v>
      </c>
      <c r="B20" s="18" t="n">
        <f aca="false">B13+B19</f>
        <v>142000</v>
      </c>
      <c r="C20" s="18" t="n">
        <f aca="false">C13+C19</f>
        <v>134500</v>
      </c>
    </row>
    <row r="23" customFormat="false" ht="15" hidden="false" customHeight="false" outlineLevel="0" collapsed="false">
      <c r="A23" s="16" t="s">
        <v>52</v>
      </c>
      <c r="B23" s="16"/>
      <c r="C23" s="16"/>
    </row>
    <row r="24" customFormat="false" ht="15" hidden="false" customHeight="false" outlineLevel="0" collapsed="false">
      <c r="A24" s="12" t="s">
        <v>53</v>
      </c>
    </row>
    <row r="25" customFormat="false" ht="15" hidden="false" customHeight="false" outlineLevel="0" collapsed="false">
      <c r="A25" s="13" t="s">
        <v>54</v>
      </c>
      <c r="B25" s="8" t="n">
        <v>15000</v>
      </c>
      <c r="C25" s="8" t="n">
        <v>18000</v>
      </c>
    </row>
    <row r="26" customFormat="false" ht="15" hidden="false" customHeight="false" outlineLevel="0" collapsed="false">
      <c r="A26" s="13" t="s">
        <v>55</v>
      </c>
      <c r="B26" s="8" t="n">
        <v>3500</v>
      </c>
      <c r="C26" s="8" t="n">
        <v>4200</v>
      </c>
    </row>
    <row r="27" customFormat="false" ht="15" hidden="false" customHeight="false" outlineLevel="0" collapsed="false">
      <c r="A27" s="13" t="s">
        <v>56</v>
      </c>
      <c r="B27" s="8" t="n">
        <v>2800</v>
      </c>
      <c r="C27" s="8" t="n">
        <v>2400</v>
      </c>
    </row>
    <row r="28" customFormat="false" ht="15" hidden="false" customHeight="false" outlineLevel="0" collapsed="false">
      <c r="A28" s="13" t="s">
        <v>57</v>
      </c>
      <c r="B28" s="8" t="n">
        <v>4200</v>
      </c>
      <c r="C28" s="8" t="n">
        <v>3800</v>
      </c>
    </row>
    <row r="29" customFormat="false" ht="15" hidden="false" customHeight="false" outlineLevel="0" collapsed="false">
      <c r="A29" s="12" t="s">
        <v>58</v>
      </c>
      <c r="B29" s="10" t="n">
        <f aca="false">SUM(B25:B28)</f>
        <v>25500</v>
      </c>
      <c r="C29" s="10" t="n">
        <f aca="false">SUM(C25:C28)</f>
        <v>28400</v>
      </c>
    </row>
    <row r="31" customFormat="false" ht="15" hidden="false" customHeight="false" outlineLevel="0" collapsed="false">
      <c r="A31" s="12" t="s">
        <v>59</v>
      </c>
    </row>
    <row r="32" customFormat="false" ht="15" hidden="false" customHeight="false" outlineLevel="0" collapsed="false">
      <c r="A32" s="13" t="s">
        <v>60</v>
      </c>
      <c r="B32" s="8" t="n">
        <v>18000</v>
      </c>
      <c r="C32" s="8" t="n">
        <v>20000</v>
      </c>
    </row>
    <row r="33" customFormat="false" ht="15" hidden="false" customHeight="false" outlineLevel="0" collapsed="false">
      <c r="A33" s="12" t="s">
        <v>61</v>
      </c>
      <c r="B33" s="10" t="n">
        <f aca="false">SUM(B32:B32)</f>
        <v>18000</v>
      </c>
      <c r="C33" s="10" t="n">
        <f aca="false">SUM(C32:C32)</f>
        <v>20000</v>
      </c>
    </row>
    <row r="35" customFormat="false" ht="15" hidden="false" customHeight="false" outlineLevel="0" collapsed="false">
      <c r="A35" s="12" t="s">
        <v>62</v>
      </c>
    </row>
    <row r="36" customFormat="false" ht="15" hidden="false" customHeight="false" outlineLevel="0" collapsed="false">
      <c r="A36" s="13" t="s">
        <v>63</v>
      </c>
      <c r="B36" s="8" t="n">
        <v>50000</v>
      </c>
      <c r="C36" s="8" t="n">
        <v>50000</v>
      </c>
    </row>
    <row r="37" customFormat="false" ht="15" hidden="false" customHeight="false" outlineLevel="0" collapsed="false">
      <c r="A37" s="13" t="s">
        <v>64</v>
      </c>
      <c r="B37" s="8" t="n">
        <v>22000</v>
      </c>
      <c r="C37" s="8" t="n">
        <v>14600</v>
      </c>
    </row>
    <row r="38" customFormat="false" ht="15" hidden="false" customHeight="false" outlineLevel="0" collapsed="false">
      <c r="A38" s="13" t="s">
        <v>65</v>
      </c>
      <c r="B38" s="8" t="n">
        <v>13500</v>
      </c>
      <c r="C38" s="8" t="n">
        <v>0</v>
      </c>
    </row>
    <row r="39" customFormat="false" ht="15" hidden="false" customHeight="false" outlineLevel="0" collapsed="false">
      <c r="A39" s="12" t="s">
        <v>66</v>
      </c>
      <c r="B39" s="10" t="n">
        <f aca="false">SUM(B36:B38)</f>
        <v>85500</v>
      </c>
      <c r="C39" s="10" t="n">
        <f aca="false">SUM(C36:C38)</f>
        <v>64600</v>
      </c>
    </row>
    <row r="40" customFormat="false" ht="15" hidden="false" customHeight="false" outlineLevel="0" collapsed="false">
      <c r="A40" s="9" t="s">
        <v>67</v>
      </c>
      <c r="B40" s="18" t="n">
        <f aca="false">B29+B33+B39</f>
        <v>129000</v>
      </c>
      <c r="C40" s="18" t="n">
        <f aca="false">C29+C33+C39</f>
        <v>113000</v>
      </c>
    </row>
  </sheetData>
  <mergeCells count="5">
    <mergeCell ref="A1:C1"/>
    <mergeCell ref="A2:C2"/>
    <mergeCell ref="A3:C3"/>
    <mergeCell ref="A7:C7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" t="s">
        <v>68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3" t="s">
        <v>69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5" t="s">
        <v>70</v>
      </c>
      <c r="B4" s="5" t="s">
        <v>71</v>
      </c>
      <c r="C4" s="5" t="s">
        <v>72</v>
      </c>
      <c r="D4" s="5" t="s">
        <v>73</v>
      </c>
      <c r="E4" s="5" t="s">
        <v>74</v>
      </c>
      <c r="F4" s="5" t="s">
        <v>75</v>
      </c>
      <c r="G4" s="5" t="s">
        <v>76</v>
      </c>
    </row>
    <row r="5" customFormat="false" ht="15" hidden="false" customHeight="false" outlineLevel="0" collapsed="false">
      <c r="A5" s="0" t="s">
        <v>77</v>
      </c>
      <c r="B5" s="0" t="s">
        <v>78</v>
      </c>
      <c r="C5" s="0" t="s">
        <v>79</v>
      </c>
      <c r="D5" s="0" t="s">
        <v>80</v>
      </c>
      <c r="E5" s="0" t="s">
        <v>81</v>
      </c>
      <c r="F5" s="8" t="n">
        <v>8500</v>
      </c>
      <c r="G5" s="19" t="s">
        <v>82</v>
      </c>
    </row>
    <row r="6" customFormat="false" ht="15" hidden="false" customHeight="false" outlineLevel="0" collapsed="false">
      <c r="A6" s="0" t="s">
        <v>83</v>
      </c>
      <c r="B6" s="0" t="s">
        <v>84</v>
      </c>
      <c r="C6" s="0" t="s">
        <v>85</v>
      </c>
      <c r="D6" s="0" t="s">
        <v>86</v>
      </c>
      <c r="E6" s="0" t="s">
        <v>87</v>
      </c>
      <c r="F6" s="8" t="n">
        <v>0</v>
      </c>
      <c r="G6" s="19" t="s">
        <v>82</v>
      </c>
    </row>
    <row r="7" customFormat="false" ht="15" hidden="false" customHeight="false" outlineLevel="0" collapsed="false">
      <c r="A7" s="0" t="s">
        <v>88</v>
      </c>
      <c r="B7" s="0" t="s">
        <v>89</v>
      </c>
      <c r="C7" s="0" t="s">
        <v>90</v>
      </c>
      <c r="D7" s="0" t="s">
        <v>91</v>
      </c>
      <c r="E7" s="0" t="s">
        <v>92</v>
      </c>
      <c r="F7" s="8" t="n">
        <v>12300</v>
      </c>
      <c r="G7" s="19" t="s">
        <v>82</v>
      </c>
    </row>
    <row r="8" customFormat="false" ht="15" hidden="false" customHeight="false" outlineLevel="0" collapsed="false">
      <c r="A8" s="0" t="s">
        <v>93</v>
      </c>
      <c r="B8" s="0" t="s">
        <v>94</v>
      </c>
      <c r="C8" s="0" t="s">
        <v>95</v>
      </c>
      <c r="D8" s="0" t="s">
        <v>96</v>
      </c>
      <c r="E8" s="0" t="s">
        <v>97</v>
      </c>
      <c r="F8" s="8" t="n">
        <v>5600</v>
      </c>
      <c r="G8" s="19" t="s">
        <v>82</v>
      </c>
    </row>
    <row r="9" customFormat="false" ht="15" hidden="false" customHeight="false" outlineLevel="0" collapsed="false">
      <c r="A9" s="0" t="s">
        <v>98</v>
      </c>
      <c r="B9" s="0" t="s">
        <v>99</v>
      </c>
      <c r="C9" s="0" t="s">
        <v>100</v>
      </c>
      <c r="D9" s="0" t="s">
        <v>101</v>
      </c>
      <c r="E9" s="0" t="s">
        <v>102</v>
      </c>
      <c r="F9" s="8" t="n">
        <v>1800</v>
      </c>
      <c r="G9" s="19" t="s">
        <v>103</v>
      </c>
    </row>
    <row r="10" customFormat="false" ht="15" hidden="false" customHeight="false" outlineLevel="0" collapsed="false">
      <c r="A10" s="0" t="s">
        <v>104</v>
      </c>
      <c r="B10" s="0" t="s">
        <v>105</v>
      </c>
      <c r="C10" s="0" t="s">
        <v>106</v>
      </c>
      <c r="D10" s="0" t="s">
        <v>107</v>
      </c>
      <c r="E10" s="0" t="s">
        <v>108</v>
      </c>
      <c r="F10" s="8" t="n">
        <v>0</v>
      </c>
      <c r="G10" s="19" t="s">
        <v>82</v>
      </c>
    </row>
    <row r="11" customFormat="false" ht="15" hidden="false" customHeight="false" outlineLevel="0" collapsed="false">
      <c r="A11" s="0" t="s">
        <v>109</v>
      </c>
      <c r="B11" s="0" t="s">
        <v>110</v>
      </c>
      <c r="C11" s="0" t="s">
        <v>111</v>
      </c>
      <c r="D11" s="0" t="s">
        <v>112</v>
      </c>
      <c r="E11" s="0" t="s">
        <v>113</v>
      </c>
      <c r="F11" s="8" t="n">
        <v>3200</v>
      </c>
      <c r="G11" s="19" t="s">
        <v>82</v>
      </c>
    </row>
    <row r="12" customFormat="false" ht="15" hidden="false" customHeight="false" outlineLevel="0" collapsed="false">
      <c r="A12" s="0" t="s">
        <v>114</v>
      </c>
      <c r="B12" s="0" t="s">
        <v>115</v>
      </c>
      <c r="C12" s="0" t="s">
        <v>116</v>
      </c>
      <c r="D12" s="0" t="s">
        <v>117</v>
      </c>
      <c r="E12" s="0" t="s">
        <v>81</v>
      </c>
      <c r="F12" s="8" t="n">
        <v>0</v>
      </c>
      <c r="G12" s="19" t="s">
        <v>82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118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5" t="s">
        <v>119</v>
      </c>
      <c r="B5" s="5" t="s">
        <v>120</v>
      </c>
      <c r="C5" s="5" t="s">
        <v>121</v>
      </c>
      <c r="D5" s="5" t="s">
        <v>122</v>
      </c>
      <c r="E5" s="5"/>
    </row>
    <row r="6" customFormat="false" ht="15" hidden="false" customHeight="false" outlineLevel="0" collapsed="false">
      <c r="A6" s="20" t="s">
        <v>123</v>
      </c>
      <c r="B6" s="20"/>
      <c r="C6" s="20"/>
      <c r="D6" s="20"/>
      <c r="E6" s="20"/>
    </row>
    <row r="7" customFormat="false" ht="15" hidden="false" customHeight="false" outlineLevel="0" collapsed="false">
      <c r="A7" s="7" t="s">
        <v>124</v>
      </c>
      <c r="B7" s="19" t="s">
        <v>125</v>
      </c>
      <c r="C7" s="19" t="s">
        <v>126</v>
      </c>
      <c r="D7" s="8" t="n">
        <v>4500</v>
      </c>
    </row>
    <row r="8" customFormat="false" ht="15" hidden="false" customHeight="false" outlineLevel="0" collapsed="false">
      <c r="A8" s="7" t="s">
        <v>127</v>
      </c>
      <c r="B8" s="19" t="s">
        <v>128</v>
      </c>
      <c r="C8" s="19" t="s">
        <v>129</v>
      </c>
      <c r="D8" s="8" t="n">
        <v>3200</v>
      </c>
    </row>
    <row r="9" customFormat="false" ht="15" hidden="false" customHeight="false" outlineLevel="0" collapsed="false">
      <c r="A9" s="7" t="s">
        <v>130</v>
      </c>
      <c r="B9" s="19" t="s">
        <v>131</v>
      </c>
      <c r="C9" s="19" t="s">
        <v>132</v>
      </c>
      <c r="D9" s="8" t="n">
        <v>6800</v>
      </c>
    </row>
    <row r="10" customFormat="false" ht="15" hidden="false" customHeight="false" outlineLevel="0" collapsed="false">
      <c r="C10" s="21" t="s">
        <v>133</v>
      </c>
      <c r="D10" s="10" t="n">
        <f aca="false">SUM(D7:D9)</f>
        <v>14500</v>
      </c>
    </row>
    <row r="12" customFormat="false" ht="15" hidden="false" customHeight="false" outlineLevel="0" collapsed="false">
      <c r="A12" s="20" t="s">
        <v>134</v>
      </c>
      <c r="B12" s="20"/>
      <c r="C12" s="20"/>
      <c r="D12" s="20"/>
      <c r="E12" s="20"/>
    </row>
    <row r="13" customFormat="false" ht="15" hidden="false" customHeight="false" outlineLevel="0" collapsed="false">
      <c r="A13" s="7" t="s">
        <v>135</v>
      </c>
      <c r="B13" s="19" t="s">
        <v>136</v>
      </c>
      <c r="C13" s="19" t="s">
        <v>137</v>
      </c>
      <c r="D13" s="8" t="n">
        <v>5500</v>
      </c>
    </row>
    <row r="14" customFormat="false" ht="15" hidden="false" customHeight="false" outlineLevel="0" collapsed="false">
      <c r="A14" s="7" t="s">
        <v>138</v>
      </c>
      <c r="B14" s="19" t="s">
        <v>139</v>
      </c>
      <c r="C14" s="19" t="s">
        <v>140</v>
      </c>
      <c r="D14" s="8" t="n">
        <v>4200</v>
      </c>
    </row>
    <row r="15" customFormat="false" ht="15" hidden="false" customHeight="false" outlineLevel="0" collapsed="false">
      <c r="C15" s="21" t="s">
        <v>141</v>
      </c>
      <c r="D15" s="10" t="n">
        <f aca="false">SUM(D13:D14)</f>
        <v>9700</v>
      </c>
    </row>
    <row r="17" customFormat="false" ht="15" hidden="false" customHeight="false" outlineLevel="0" collapsed="false">
      <c r="A17" s="20" t="s">
        <v>142</v>
      </c>
      <c r="B17" s="20"/>
      <c r="C17" s="20"/>
      <c r="D17" s="20"/>
      <c r="E17" s="20"/>
    </row>
    <row r="18" customFormat="false" ht="15" hidden="false" customHeight="false" outlineLevel="0" collapsed="false">
      <c r="A18" s="7" t="s">
        <v>143</v>
      </c>
      <c r="B18" s="19" t="s">
        <v>144</v>
      </c>
      <c r="C18" s="19" t="s">
        <v>145</v>
      </c>
      <c r="D18" s="8" t="n">
        <v>8500</v>
      </c>
    </row>
    <row r="19" customFormat="false" ht="15" hidden="false" customHeight="false" outlineLevel="0" collapsed="false">
      <c r="A19" s="7" t="s">
        <v>146</v>
      </c>
      <c r="B19" s="19" t="s">
        <v>147</v>
      </c>
      <c r="C19" s="19" t="s">
        <v>148</v>
      </c>
      <c r="D19" s="8" t="n">
        <v>9200</v>
      </c>
    </row>
    <row r="20" customFormat="false" ht="15" hidden="false" customHeight="false" outlineLevel="0" collapsed="false">
      <c r="A20" s="7" t="s">
        <v>149</v>
      </c>
      <c r="B20" s="19" t="s">
        <v>150</v>
      </c>
      <c r="C20" s="19" t="s">
        <v>151</v>
      </c>
      <c r="D20" s="8" t="n">
        <v>7800</v>
      </c>
    </row>
    <row r="21" customFormat="false" ht="15" hidden="false" customHeight="false" outlineLevel="0" collapsed="false">
      <c r="A21" s="7" t="s">
        <v>152</v>
      </c>
      <c r="B21" s="19" t="s">
        <v>153</v>
      </c>
      <c r="C21" s="19" t="s">
        <v>154</v>
      </c>
      <c r="D21" s="8" t="n">
        <v>4500</v>
      </c>
    </row>
    <row r="22" customFormat="false" ht="15" hidden="false" customHeight="false" outlineLevel="0" collapsed="false">
      <c r="C22" s="21" t="s">
        <v>155</v>
      </c>
      <c r="D22" s="10" t="n">
        <f aca="false">SUM(D18:D21)</f>
        <v>30000</v>
      </c>
    </row>
    <row r="24" customFormat="false" ht="15" hidden="false" customHeight="false" outlineLevel="0" collapsed="false">
      <c r="A24" s="20" t="s">
        <v>156</v>
      </c>
      <c r="B24" s="20"/>
      <c r="C24" s="20"/>
      <c r="D24" s="20"/>
      <c r="E24" s="20"/>
    </row>
    <row r="25" customFormat="false" ht="15" hidden="false" customHeight="false" outlineLevel="0" collapsed="false">
      <c r="A25" s="7" t="s">
        <v>157</v>
      </c>
      <c r="B25" s="19" t="s">
        <v>158</v>
      </c>
      <c r="C25" s="19" t="s">
        <v>159</v>
      </c>
      <c r="D25" s="8" t="n">
        <v>3800</v>
      </c>
    </row>
    <row r="26" customFormat="false" ht="15" hidden="false" customHeight="false" outlineLevel="0" collapsed="false">
      <c r="A26" s="7" t="s">
        <v>160</v>
      </c>
      <c r="B26" s="19" t="s">
        <v>161</v>
      </c>
      <c r="C26" s="19" t="s">
        <v>162</v>
      </c>
      <c r="D26" s="8" t="n">
        <v>5600</v>
      </c>
    </row>
    <row r="27" customFormat="false" ht="15" hidden="false" customHeight="false" outlineLevel="0" collapsed="false">
      <c r="C27" s="21" t="s">
        <v>163</v>
      </c>
      <c r="D27" s="10" t="n">
        <f aca="false">SUM(D25:D26)</f>
        <v>9400</v>
      </c>
    </row>
    <row r="29" customFormat="false" ht="15" hidden="false" customHeight="false" outlineLevel="0" collapsed="false">
      <c r="C29" s="21" t="s">
        <v>164</v>
      </c>
      <c r="D29" s="18" t="n">
        <f aca="false">SUMPRODUCT((D7:D28)*(ISNUMBER(D7:D28)))/2</f>
        <v>63600</v>
      </c>
    </row>
  </sheetData>
  <mergeCells count="7">
    <mergeCell ref="A1:E1"/>
    <mergeCell ref="A2:E2"/>
    <mergeCell ref="A3:E3"/>
    <mergeCell ref="A6:E6"/>
    <mergeCell ref="A12:E12"/>
    <mergeCell ref="A17:E17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7" min="4" style="0" width="12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165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5" t="s">
        <v>119</v>
      </c>
      <c r="B4" s="5" t="s">
        <v>120</v>
      </c>
      <c r="C4" s="5" t="s">
        <v>166</v>
      </c>
      <c r="D4" s="5" t="s">
        <v>167</v>
      </c>
      <c r="E4" s="5" t="s">
        <v>122</v>
      </c>
      <c r="F4" s="5" t="s">
        <v>168</v>
      </c>
      <c r="G4" s="5" t="s">
        <v>75</v>
      </c>
      <c r="H4" s="5" t="s">
        <v>76</v>
      </c>
    </row>
    <row r="5" customFormat="false" ht="15" hidden="false" customHeight="false" outlineLevel="0" collapsed="false">
      <c r="A5" s="0" t="s">
        <v>143</v>
      </c>
      <c r="B5" s="0" t="s">
        <v>144</v>
      </c>
      <c r="C5" s="0" t="s">
        <v>89</v>
      </c>
      <c r="D5" s="0" t="s">
        <v>169</v>
      </c>
      <c r="E5" s="8" t="n">
        <v>8500</v>
      </c>
      <c r="F5" s="8" t="n">
        <v>8500</v>
      </c>
      <c r="G5" s="8" t="n">
        <v>0</v>
      </c>
      <c r="H5" s="22" t="s">
        <v>168</v>
      </c>
    </row>
    <row r="6" customFormat="false" ht="15" hidden="false" customHeight="false" outlineLevel="0" collapsed="false">
      <c r="A6" s="0" t="s">
        <v>124</v>
      </c>
      <c r="B6" s="0" t="s">
        <v>125</v>
      </c>
      <c r="C6" s="0" t="s">
        <v>78</v>
      </c>
      <c r="D6" s="0" t="s">
        <v>146</v>
      </c>
      <c r="E6" s="8" t="n">
        <v>4500</v>
      </c>
      <c r="F6" s="8" t="n">
        <v>4500</v>
      </c>
      <c r="G6" s="8" t="n">
        <v>0</v>
      </c>
      <c r="H6" s="22" t="s">
        <v>168</v>
      </c>
    </row>
    <row r="7" customFormat="false" ht="15" hidden="false" customHeight="false" outlineLevel="0" collapsed="false">
      <c r="A7" s="0" t="s">
        <v>135</v>
      </c>
      <c r="B7" s="0" t="s">
        <v>136</v>
      </c>
      <c r="C7" s="0" t="s">
        <v>84</v>
      </c>
      <c r="D7" s="0" t="s">
        <v>170</v>
      </c>
      <c r="E7" s="8" t="n">
        <v>5500</v>
      </c>
      <c r="F7" s="8" t="n">
        <v>5500</v>
      </c>
      <c r="G7" s="8" t="n">
        <v>0</v>
      </c>
      <c r="H7" s="22" t="s">
        <v>168</v>
      </c>
    </row>
    <row r="8" customFormat="false" ht="15" hidden="false" customHeight="false" outlineLevel="0" collapsed="false">
      <c r="A8" s="0" t="s">
        <v>157</v>
      </c>
      <c r="B8" s="0" t="s">
        <v>158</v>
      </c>
      <c r="C8" s="0" t="s">
        <v>94</v>
      </c>
      <c r="D8" s="0" t="s">
        <v>171</v>
      </c>
      <c r="E8" s="8" t="n">
        <v>3800</v>
      </c>
      <c r="F8" s="8" t="n">
        <v>3800</v>
      </c>
      <c r="G8" s="8" t="n">
        <v>0</v>
      </c>
      <c r="H8" s="22" t="s">
        <v>168</v>
      </c>
    </row>
    <row r="9" customFormat="false" ht="15" hidden="false" customHeight="false" outlineLevel="0" collapsed="false">
      <c r="A9" s="0" t="s">
        <v>127</v>
      </c>
      <c r="B9" s="0" t="s">
        <v>128</v>
      </c>
      <c r="C9" s="0" t="s">
        <v>78</v>
      </c>
      <c r="D9" s="0" t="s">
        <v>149</v>
      </c>
      <c r="E9" s="8" t="n">
        <v>3200</v>
      </c>
      <c r="F9" s="8" t="n">
        <v>3200</v>
      </c>
      <c r="G9" s="8" t="n">
        <v>0</v>
      </c>
      <c r="H9" s="22" t="s">
        <v>168</v>
      </c>
    </row>
    <row r="10" customFormat="false" ht="15" hidden="false" customHeight="false" outlineLevel="0" collapsed="false">
      <c r="A10" s="0" t="s">
        <v>146</v>
      </c>
      <c r="B10" s="0" t="s">
        <v>147</v>
      </c>
      <c r="C10" s="0" t="s">
        <v>89</v>
      </c>
      <c r="D10" s="0" t="s">
        <v>172</v>
      </c>
      <c r="E10" s="8" t="n">
        <v>9200</v>
      </c>
      <c r="F10" s="8" t="n">
        <v>9200</v>
      </c>
      <c r="G10" s="8" t="n">
        <v>0</v>
      </c>
      <c r="H10" s="22" t="s">
        <v>168</v>
      </c>
    </row>
    <row r="11" customFormat="false" ht="15" hidden="false" customHeight="false" outlineLevel="0" collapsed="false">
      <c r="A11" s="0" t="s">
        <v>138</v>
      </c>
      <c r="B11" s="0" t="s">
        <v>139</v>
      </c>
      <c r="C11" s="0" t="s">
        <v>84</v>
      </c>
      <c r="D11" s="0" t="s">
        <v>173</v>
      </c>
      <c r="E11" s="8" t="n">
        <v>4200</v>
      </c>
      <c r="F11" s="8" t="n">
        <v>0</v>
      </c>
      <c r="G11" s="8" t="n">
        <v>4200</v>
      </c>
      <c r="H11" s="22" t="s">
        <v>174</v>
      </c>
    </row>
    <row r="12" customFormat="false" ht="15" hidden="false" customHeight="false" outlineLevel="0" collapsed="false">
      <c r="A12" s="0" t="s">
        <v>149</v>
      </c>
      <c r="B12" s="0" t="s">
        <v>150</v>
      </c>
      <c r="C12" s="0" t="s">
        <v>89</v>
      </c>
      <c r="D12" s="0" t="s">
        <v>175</v>
      </c>
      <c r="E12" s="8" t="n">
        <v>7800</v>
      </c>
      <c r="F12" s="8" t="n">
        <v>4000</v>
      </c>
      <c r="G12" s="8" t="n">
        <v>3800</v>
      </c>
      <c r="H12" s="22" t="s">
        <v>176</v>
      </c>
    </row>
    <row r="13" customFormat="false" ht="15" hidden="false" customHeight="false" outlineLevel="0" collapsed="false">
      <c r="A13" s="0" t="s">
        <v>160</v>
      </c>
      <c r="B13" s="0" t="s">
        <v>161</v>
      </c>
      <c r="C13" s="0" t="s">
        <v>94</v>
      </c>
      <c r="D13" s="0" t="s">
        <v>177</v>
      </c>
      <c r="E13" s="8" t="n">
        <v>5600</v>
      </c>
      <c r="F13" s="8" t="n">
        <v>0</v>
      </c>
      <c r="G13" s="8" t="n">
        <v>5600</v>
      </c>
      <c r="H13" s="22" t="s">
        <v>178</v>
      </c>
    </row>
    <row r="14" customFormat="false" ht="15" hidden="false" customHeight="false" outlineLevel="0" collapsed="false">
      <c r="A14" s="0" t="s">
        <v>130</v>
      </c>
      <c r="B14" s="0" t="s">
        <v>131</v>
      </c>
      <c r="C14" s="0" t="s">
        <v>78</v>
      </c>
      <c r="D14" s="0" t="s">
        <v>179</v>
      </c>
      <c r="E14" s="8" t="n">
        <v>6800</v>
      </c>
      <c r="F14" s="8" t="n">
        <v>0</v>
      </c>
      <c r="G14" s="8" t="n">
        <v>6800</v>
      </c>
      <c r="H14" s="22" t="s">
        <v>178</v>
      </c>
    </row>
    <row r="15" customFormat="false" ht="15" hidden="false" customHeight="false" outlineLevel="0" collapsed="false">
      <c r="A15" s="0" t="s">
        <v>152</v>
      </c>
      <c r="B15" s="0" t="s">
        <v>153</v>
      </c>
      <c r="C15" s="0" t="s">
        <v>89</v>
      </c>
      <c r="D15" s="0" t="s">
        <v>180</v>
      </c>
      <c r="E15" s="8" t="n">
        <v>4500</v>
      </c>
      <c r="F15" s="8" t="n">
        <v>0</v>
      </c>
      <c r="G15" s="8" t="n">
        <v>4500</v>
      </c>
      <c r="H15" s="22" t="s">
        <v>178</v>
      </c>
    </row>
    <row r="16" customFormat="false" ht="15" hidden="false" customHeight="false" outlineLevel="0" collapsed="false">
      <c r="D16" s="21" t="s">
        <v>181</v>
      </c>
      <c r="E16" s="10" t="n">
        <f aca="false">SUM(E5:E15)</f>
        <v>63600</v>
      </c>
      <c r="F16" s="10" t="n">
        <f aca="false">SUM(F5:F15)</f>
        <v>38700</v>
      </c>
      <c r="G16" s="10" t="n">
        <f aca="false">SUM(G5:G15)</f>
        <v>24900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2026-05-16T02:31:55Z</dcterms:created>
  <dc:creator>openpyxl</dc:creator>
  <dc:description/>
  <dc:language>en-US</dc:language>
  <cp:lastModifiedBy/>
  <dcterms:modified xsi:type="dcterms:W3CDTF">2026-05-16T02:31:55Z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